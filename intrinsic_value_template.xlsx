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UploadTemplate" sheetId="3" state="visible" r:id="rId3"/>
    <sheet xmlns:r="http://schemas.openxmlformats.org/officeDocument/2006/relationships"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i val="1"/>
      <color rgb="00555555"/>
      <sz val="10"/>
    </font>
    <font>
      <name val="Calibri"/>
      <b val="1"/>
      <sz val="12"/>
    </font>
    <font>
      <name val="Calibri"/>
      <color rgb="000000FF"/>
      <sz val="11"/>
    </font>
    <font>
      <name val="Calibri"/>
      <b val="1"/>
      <color rgb="00FFFFFF"/>
      <sz val="12"/>
    </font>
    <font>
      <name val="Calibri"/>
      <color rgb="00000000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top style="medium">
        <color rgb="00000000"/>
      </top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4" fontId="4" fillId="3" borderId="0" pivotButton="0" quotePrefix="0" xfId="0"/>
    <xf numFmtId="4" fontId="4" fillId="0" borderId="0" pivotButton="0" quotePrefix="0" xfId="0"/>
    <xf numFmtId="10" fontId="4" fillId="3" borderId="0" pivotButton="0" quotePrefix="0" xfId="0"/>
    <xf numFmtId="0" fontId="5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4" fillId="0" borderId="1" pivotButton="0" quotePrefix="0" xfId="0"/>
    <xf numFmtId="2" fontId="4" fillId="3" borderId="0" pivotButton="0" quotePrefix="0" xfId="0"/>
    <xf numFmtId="0" fontId="3" fillId="2" borderId="0" pivotButton="0" quotePrefix="0" xfId="0"/>
    <xf numFmtId="4" fontId="6" fillId="0" borderId="0" pivotButton="0" quotePrefix="0" xfId="0"/>
    <xf numFmtId="10" fontId="6" fillId="0" borderId="0" pivotButton="0" quotePrefix="0" xfId="0"/>
    <xf numFmtId="0" fontId="5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10" fontId="6" fillId="0" borderId="1" applyAlignment="1" pivotButton="0" quotePrefix="0" xfId="0">
      <alignment horizontal="center" vertical="center"/>
    </xf>
    <xf numFmtId="4" fontId="6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center" vertical="center"/>
    </xf>
    <xf numFmtId="0" fontId="3" fillId="0" borderId="2" pivotButton="0" quotePrefix="0" xfId="0"/>
    <xf numFmtId="4" fontId="6" fillId="0" borderId="2" pivotButton="0" quotePrefix="0" xfId="0"/>
    <xf numFmtId="0" fontId="3" fillId="0" borderId="0" pivotButton="0" quotePrefix="0" xfId="0"/>
    <xf numFmtId="0" fontId="4" fillId="0" borderId="1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Intrinsic Value per Share (DCF Template)</t>
        </is>
      </c>
    </row>
    <row r="2">
      <c r="A2" s="2" t="inlineStr">
        <is>
          <t>Blue cells are inputs. Black cells are formulas. Yellow cells are key assumptions.</t>
        </is>
      </c>
    </row>
    <row r="4">
      <c r="A4" s="3" t="inlineStr">
        <is>
          <t>Company / Capital Structure</t>
        </is>
      </c>
    </row>
    <row r="5">
      <c r="A5" s="4" t="inlineStr">
        <is>
          <t>Ticker (optional, for Yahoo fetch)</t>
        </is>
      </c>
      <c r="B5" s="5" t="inlineStr">
        <is>
          <t>AAPL</t>
        </is>
      </c>
    </row>
    <row r="6">
      <c r="A6" s="4" t="inlineStr">
        <is>
          <t>Currency</t>
        </is>
      </c>
      <c r="B6" s="5" t="inlineStr">
        <is>
          <t>USD</t>
        </is>
      </c>
    </row>
    <row r="7">
      <c r="A7" s="4" t="inlineStr">
        <is>
          <t>Cash &amp; Equivalents</t>
        </is>
      </c>
      <c r="B7" s="6" t="n">
        <v>0</v>
      </c>
    </row>
    <row r="8">
      <c r="A8" s="4" t="inlineStr">
        <is>
          <t>Total Debt</t>
        </is>
      </c>
      <c r="B8" s="6" t="n">
        <v>0</v>
      </c>
    </row>
    <row r="9">
      <c r="A9" s="4" t="inlineStr">
        <is>
          <t>Diluted Shares Outstanding</t>
        </is>
      </c>
      <c r="B9" s="6" t="n">
        <v>0</v>
      </c>
    </row>
    <row r="12">
      <c r="A12" s="3" t="inlineStr">
        <is>
          <t>Cash Flow Assumptions</t>
        </is>
      </c>
    </row>
    <row r="13">
      <c r="A13" s="4" t="inlineStr">
        <is>
          <t>Base Free Cash Flow (FCF0) - LTM</t>
        </is>
      </c>
      <c r="B13" s="6" t="n">
        <v>0</v>
      </c>
    </row>
    <row r="14">
      <c r="A14" s="4" t="inlineStr">
        <is>
          <t>Forecast Years</t>
        </is>
      </c>
      <c r="B14" s="7" t="n">
        <v>10</v>
      </c>
    </row>
    <row r="15">
      <c r="A15" s="4" t="inlineStr">
        <is>
          <t>Discount Rate (r)</t>
        </is>
      </c>
      <c r="B15" s="8" t="n">
        <v>0.1</v>
      </c>
    </row>
    <row r="16">
      <c r="A16" s="4" t="inlineStr">
        <is>
          <t>Growth Mode (Single / ByYear)</t>
        </is>
      </c>
      <c r="B16" s="5" t="inlineStr">
        <is>
          <t>Single</t>
        </is>
      </c>
    </row>
    <row r="17">
      <c r="A17" s="4" t="inlineStr">
        <is>
          <t>Single Growth Rate (Years 1-10)</t>
        </is>
      </c>
      <c r="B17" s="8" t="n">
        <v>0.06</v>
      </c>
    </row>
    <row r="19">
      <c r="A19" s="2" t="inlineStr">
        <is>
          <t>If Growth Mode = ByYear, fill annual growth rates below (Years 1–10).</t>
        </is>
      </c>
    </row>
    <row r="20">
      <c r="A20" s="9" t="inlineStr">
        <is>
          <t>Year</t>
        </is>
      </c>
      <c r="B20" s="9" t="inlineStr">
        <is>
          <t>Growth Rate</t>
        </is>
      </c>
    </row>
    <row r="21">
      <c r="A21" s="10" t="n">
        <v>1</v>
      </c>
      <c r="B21" s="11" t="n">
        <v>0.06</v>
      </c>
    </row>
    <row r="22">
      <c r="A22" s="10" t="n">
        <v>2</v>
      </c>
      <c r="B22" s="11" t="n">
        <v>0.06</v>
      </c>
    </row>
    <row r="23">
      <c r="A23" s="10" t="n">
        <v>3</v>
      </c>
      <c r="B23" s="11" t="n">
        <v>0.06</v>
      </c>
    </row>
    <row r="24">
      <c r="A24" s="10" t="n">
        <v>4</v>
      </c>
      <c r="B24" s="11" t="n">
        <v>0.06</v>
      </c>
    </row>
    <row r="25">
      <c r="A25" s="10" t="n">
        <v>5</v>
      </c>
      <c r="B25" s="11" t="n">
        <v>0.06</v>
      </c>
    </row>
    <row r="26">
      <c r="A26" s="10" t="n">
        <v>6</v>
      </c>
      <c r="B26" s="11" t="n">
        <v>0.06</v>
      </c>
    </row>
    <row r="27">
      <c r="A27" s="10" t="n">
        <v>7</v>
      </c>
      <c r="B27" s="11" t="n">
        <v>0.06</v>
      </c>
    </row>
    <row r="28">
      <c r="A28" s="10" t="n">
        <v>8</v>
      </c>
      <c r="B28" s="11" t="n">
        <v>0.06</v>
      </c>
    </row>
    <row r="29">
      <c r="A29" s="10" t="n">
        <v>9</v>
      </c>
      <c r="B29" s="11" t="n">
        <v>0.06</v>
      </c>
    </row>
    <row r="30">
      <c r="A30" s="10" t="n">
        <v>10</v>
      </c>
      <c r="B30" s="11" t="n">
        <v>0.06</v>
      </c>
    </row>
    <row r="33">
      <c r="A33" s="3" t="inlineStr">
        <is>
          <t>Terminal Value Assumptions</t>
        </is>
      </c>
    </row>
    <row r="34">
      <c r="A34" s="4" t="inlineStr">
        <is>
          <t>Terminal Method (Gordon / ExitMultiple)</t>
        </is>
      </c>
      <c r="B34" s="12" t="inlineStr">
        <is>
          <t>Gordon</t>
        </is>
      </c>
    </row>
    <row r="35">
      <c r="A35" s="4" t="inlineStr">
        <is>
          <t>Terminal Growth Rate (g)</t>
        </is>
      </c>
      <c r="B35" s="8" t="n">
        <v>0.03</v>
      </c>
    </row>
    <row r="36">
      <c r="A36" s="4" t="inlineStr">
        <is>
          <t>Exit Multiple (EV/FCF)</t>
        </is>
      </c>
      <c r="B36" s="12" t="n">
        <v>15</v>
      </c>
    </row>
    <row r="38">
      <c r="A38" s="3" t="inlineStr">
        <is>
          <t>Margin of Safety</t>
        </is>
      </c>
    </row>
    <row r="39">
      <c r="A39" s="4" t="inlineStr">
        <is>
          <t>Margin of Safety (MOS)</t>
        </is>
      </c>
      <c r="B39" s="8" t="n">
        <v>0.3</v>
      </c>
    </row>
  </sheetData>
  <mergeCells count="7">
    <mergeCell ref="A12:E12"/>
    <mergeCell ref="A4:E4"/>
    <mergeCell ref="A38:E38"/>
    <mergeCell ref="A2:E2"/>
    <mergeCell ref="A33:E33"/>
    <mergeCell ref="A19:E19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DCF Model (links from Inputs)</t>
        </is>
      </c>
    </row>
    <row r="3">
      <c r="A3" s="13" t="inlineStr">
        <is>
          <t>Inputs (linked)</t>
        </is>
      </c>
    </row>
    <row r="4">
      <c r="A4" s="4" t="inlineStr">
        <is>
          <t>FCF0</t>
        </is>
      </c>
      <c r="B4" s="14">
        <f>Inputs!B13</f>
        <v/>
      </c>
    </row>
    <row r="5">
      <c r="A5" s="4" t="inlineStr">
        <is>
          <t>Forecast Years</t>
        </is>
      </c>
      <c r="B5" s="14">
        <f>Inputs!B14</f>
        <v/>
      </c>
    </row>
    <row r="6">
      <c r="A6" s="4" t="inlineStr">
        <is>
          <t>Discount Rate (r)</t>
        </is>
      </c>
      <c r="B6" s="15">
        <f>Inputs!B15</f>
        <v/>
      </c>
    </row>
    <row r="7">
      <c r="A7" s="4" t="inlineStr">
        <is>
          <t>Growth Mode</t>
        </is>
      </c>
      <c r="B7" s="14">
        <f>Inputs!B16</f>
        <v/>
      </c>
    </row>
    <row r="8">
      <c r="A8" s="4" t="inlineStr">
        <is>
          <t>Single Growth</t>
        </is>
      </c>
      <c r="B8" s="15">
        <f>Inputs!B17</f>
        <v/>
      </c>
    </row>
    <row r="9">
      <c r="A9" s="4" t="inlineStr">
        <is>
          <t>Terminal Method</t>
        </is>
      </c>
      <c r="B9" s="14">
        <f>Inputs!B34</f>
        <v/>
      </c>
    </row>
    <row r="10">
      <c r="A10" s="4" t="inlineStr">
        <is>
          <t>Terminal Growth (g)</t>
        </is>
      </c>
      <c r="B10" s="15">
        <f>Inputs!B35</f>
        <v/>
      </c>
    </row>
    <row r="11">
      <c r="A11" s="4" t="inlineStr">
        <is>
          <t>Exit Multiple</t>
        </is>
      </c>
      <c r="B11" s="14">
        <f>Inputs!B36</f>
        <v/>
      </c>
    </row>
    <row r="12">
      <c r="A12" s="4" t="inlineStr">
        <is>
          <t>Cash</t>
        </is>
      </c>
      <c r="B12" s="14">
        <f>Inputs!B7</f>
        <v/>
      </c>
    </row>
    <row r="13">
      <c r="A13" s="4" t="inlineStr">
        <is>
          <t>Debt</t>
        </is>
      </c>
      <c r="B13" s="14">
        <f>Inputs!B8</f>
        <v/>
      </c>
    </row>
    <row r="14">
      <c r="A14" s="4" t="inlineStr">
        <is>
          <t>Shares</t>
        </is>
      </c>
      <c r="B14" s="14">
        <f>Inputs!B9</f>
        <v/>
      </c>
    </row>
    <row r="15">
      <c r="A15" s="4" t="inlineStr">
        <is>
          <t>MOS</t>
        </is>
      </c>
      <c r="B15" s="15">
        <f>Inputs!B39</f>
        <v/>
      </c>
    </row>
    <row r="17">
      <c r="A17" s="13" t="inlineStr">
        <is>
          <t>Projections</t>
        </is>
      </c>
    </row>
    <row r="18">
      <c r="A18" s="16" t="inlineStr">
        <is>
          <t>Metric</t>
        </is>
      </c>
      <c r="B18" s="9" t="inlineStr">
        <is>
          <t>Y1</t>
        </is>
      </c>
      <c r="C18" s="9" t="inlineStr">
        <is>
          <t>Y2</t>
        </is>
      </c>
      <c r="D18" s="9" t="inlineStr">
        <is>
          <t>Y3</t>
        </is>
      </c>
      <c r="E18" s="9" t="inlineStr">
        <is>
          <t>Y4</t>
        </is>
      </c>
      <c r="F18" s="9" t="inlineStr">
        <is>
          <t>Y5</t>
        </is>
      </c>
      <c r="G18" s="9" t="inlineStr">
        <is>
          <t>Y6</t>
        </is>
      </c>
      <c r="H18" s="9" t="inlineStr">
        <is>
          <t>Y7</t>
        </is>
      </c>
      <c r="I18" s="9" t="inlineStr">
        <is>
          <t>Y8</t>
        </is>
      </c>
      <c r="J18" s="9" t="inlineStr">
        <is>
          <t>Y9</t>
        </is>
      </c>
      <c r="K18" s="9" t="inlineStr">
        <is>
          <t>Y10</t>
        </is>
      </c>
    </row>
    <row r="19">
      <c r="A19" s="17" t="inlineStr">
        <is>
          <t>Growth Rate</t>
        </is>
      </c>
      <c r="B19" s="18">
        <f>IF($B$7="ByYear",Inputs!B21,$B$8)</f>
        <v/>
      </c>
      <c r="C19" s="18">
        <f>IF($B$7="ByYear",Inputs!B22,$B$8)</f>
        <v/>
      </c>
      <c r="D19" s="18">
        <f>IF($B$7="ByYear",Inputs!B23,$B$8)</f>
        <v/>
      </c>
      <c r="E19" s="18">
        <f>IF($B$7="ByYear",Inputs!B24,$B$8)</f>
        <v/>
      </c>
      <c r="F19" s="18">
        <f>IF($B$7="ByYear",Inputs!B25,$B$8)</f>
        <v/>
      </c>
      <c r="G19" s="18">
        <f>IF($B$7="ByYear",Inputs!B26,$B$8)</f>
        <v/>
      </c>
      <c r="H19" s="18">
        <f>IF($B$7="ByYear",Inputs!B27,$B$8)</f>
        <v/>
      </c>
      <c r="I19" s="18">
        <f>IF($B$7="ByYear",Inputs!B28,$B$8)</f>
        <v/>
      </c>
      <c r="J19" s="18">
        <f>IF($B$7="ByYear",Inputs!B29,$B$8)</f>
        <v/>
      </c>
      <c r="K19" s="18">
        <f>IF($B$7="ByYear",Inputs!B30,$B$8)</f>
        <v/>
      </c>
    </row>
    <row r="20">
      <c r="A20" s="17" t="inlineStr">
        <is>
          <t>FCF (Projected)</t>
        </is>
      </c>
      <c r="B20" s="19">
        <f>$B$4*(1+B19)</f>
        <v/>
      </c>
      <c r="C20" s="19">
        <f>B20*(1+C19)</f>
        <v/>
      </c>
      <c r="D20" s="19">
        <f>C20*(1+D19)</f>
        <v/>
      </c>
      <c r="E20" s="19">
        <f>D20*(1+E19)</f>
        <v/>
      </c>
      <c r="F20" s="19">
        <f>E20*(1+F19)</f>
        <v/>
      </c>
      <c r="G20" s="19">
        <f>F20*(1+G19)</f>
        <v/>
      </c>
      <c r="H20" s="19">
        <f>G20*(1+H19)</f>
        <v/>
      </c>
      <c r="I20" s="19">
        <f>H20*(1+I19)</f>
        <v/>
      </c>
      <c r="J20" s="19">
        <f>I20*(1+J19)</f>
        <v/>
      </c>
      <c r="K20" s="19">
        <f>J20*(1+K19)</f>
        <v/>
      </c>
    </row>
    <row r="21">
      <c r="A21" s="17" t="inlineStr">
        <is>
          <t>Discount Factor</t>
        </is>
      </c>
      <c r="B21" s="20">
        <f>1/(1+$B$6)^1</f>
        <v/>
      </c>
      <c r="C21" s="20">
        <f>1/(1+$B$6)^2</f>
        <v/>
      </c>
      <c r="D21" s="20">
        <f>1/(1+$B$6)^3</f>
        <v/>
      </c>
      <c r="E21" s="20">
        <f>1/(1+$B$6)^4</f>
        <v/>
      </c>
      <c r="F21" s="20">
        <f>1/(1+$B$6)^5</f>
        <v/>
      </c>
      <c r="G21" s="20">
        <f>1/(1+$B$6)^6</f>
        <v/>
      </c>
      <c r="H21" s="20">
        <f>1/(1+$B$6)^7</f>
        <v/>
      </c>
      <c r="I21" s="20">
        <f>1/(1+$B$6)^8</f>
        <v/>
      </c>
      <c r="J21" s="20">
        <f>1/(1+$B$6)^9</f>
        <v/>
      </c>
      <c r="K21" s="20">
        <f>1/(1+$B$6)^10</f>
        <v/>
      </c>
    </row>
    <row r="22">
      <c r="A22" s="17" t="inlineStr">
        <is>
          <t>PV of FCF</t>
        </is>
      </c>
      <c r="B22" s="19">
        <f>B20*B21</f>
        <v/>
      </c>
      <c r="C22" s="19">
        <f>C20*C21</f>
        <v/>
      </c>
      <c r="D22" s="19">
        <f>D20*D21</f>
        <v/>
      </c>
      <c r="E22" s="19">
        <f>E20*E21</f>
        <v/>
      </c>
      <c r="F22" s="19">
        <f>F20*F21</f>
        <v/>
      </c>
      <c r="G22" s="19">
        <f>G20*G21</f>
        <v/>
      </c>
      <c r="H22" s="19">
        <f>H20*H21</f>
        <v/>
      </c>
      <c r="I22" s="19">
        <f>I20*I21</f>
        <v/>
      </c>
      <c r="J22" s="19">
        <f>J20*J21</f>
        <v/>
      </c>
      <c r="K22" s="19">
        <f>K20*K21</f>
        <v/>
      </c>
    </row>
    <row r="24">
      <c r="A24" s="21" t="inlineStr">
        <is>
          <t>PV of Cash Flows (Y1–Y10)</t>
        </is>
      </c>
      <c r="B24" s="22">
        <f>SUM(B22:K22)</f>
        <v/>
      </c>
    </row>
    <row r="26">
      <c r="A26" s="21" t="inlineStr">
        <is>
          <t>Terminal Value (at Y10)</t>
        </is>
      </c>
      <c r="B26" s="22">
        <f>IF($B$9="Gordon", K20*(1+$B$10)/($B$6-$B$10), K20*$B$11)</f>
        <v/>
      </c>
    </row>
    <row r="27">
      <c r="A27" s="4" t="inlineStr">
        <is>
          <t>PV of Terminal Value</t>
        </is>
      </c>
      <c r="B27" s="14">
        <f>B26*K21</f>
        <v/>
      </c>
    </row>
    <row r="29">
      <c r="A29" s="21" t="inlineStr">
        <is>
          <t>Enterprise Value (EV)</t>
        </is>
      </c>
      <c r="B29" s="22">
        <f>B24+B27</f>
        <v/>
      </c>
    </row>
    <row r="30">
      <c r="A30" s="4" t="inlineStr">
        <is>
          <t>Net Debt (Debt - Cash)</t>
        </is>
      </c>
      <c r="B30" s="14">
        <f>$B$13-$B$12</f>
        <v/>
      </c>
    </row>
    <row r="31">
      <c r="A31" s="23" t="inlineStr">
        <is>
          <t>Equity Value</t>
        </is>
      </c>
      <c r="B31" s="14">
        <f>B29-B30</f>
        <v/>
      </c>
    </row>
    <row r="32">
      <c r="A32" s="23" t="inlineStr">
        <is>
          <t>Intrinsic Value per Share</t>
        </is>
      </c>
      <c r="B32" s="14">
        <f>B31/$B$14</f>
        <v/>
      </c>
    </row>
    <row r="33">
      <c r="A33" s="23" t="inlineStr">
        <is>
          <t>Buy Price (MOS Applied)</t>
        </is>
      </c>
      <c r="B33" s="14">
        <f>B32*(1-$B$15)</f>
        <v/>
      </c>
    </row>
  </sheetData>
  <mergeCells count="3">
    <mergeCell ref="A3:L3"/>
    <mergeCell ref="A1:L1"/>
    <mergeCell ref="A17:L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1" t="inlineStr">
        <is>
          <t>Manual Input Upload (Optional)</t>
        </is>
      </c>
    </row>
    <row r="2">
      <c r="A2" s="2" t="inlineStr">
        <is>
          <t>Fill Column B (Value). Then copy into Inputs, or use the Python script to ingest this file.</t>
        </is>
      </c>
    </row>
    <row r="4">
      <c r="A4" s="9" t="inlineStr">
        <is>
          <t>Field</t>
        </is>
      </c>
      <c r="B4" s="9" t="inlineStr">
        <is>
          <t>Value</t>
        </is>
      </c>
      <c r="C4" s="9" t="inlineStr">
        <is>
          <t>Notes</t>
        </is>
      </c>
    </row>
    <row r="5">
      <c r="A5" s="17" t="inlineStr">
        <is>
          <t>Ticker</t>
        </is>
      </c>
      <c r="B5" s="24" t="inlineStr">
        <is>
          <t>AAPL</t>
        </is>
      </c>
      <c r="C5" s="17" t="inlineStr">
        <is>
          <t>Optional if using Yahoo/yfinance</t>
        </is>
      </c>
    </row>
    <row r="6">
      <c r="A6" s="17" t="inlineStr">
        <is>
          <t>FCF0 (LTM)</t>
        </is>
      </c>
      <c r="B6" s="24" t="inlineStr"/>
      <c r="C6" s="17" t="inlineStr">
        <is>
          <t>Free cash flow or owner earnings</t>
        </is>
      </c>
    </row>
    <row r="7">
      <c r="A7" s="17" t="inlineStr">
        <is>
          <t>Discount Rate r</t>
        </is>
      </c>
      <c r="B7" s="24" t="inlineStr">
        <is>
          <t>0.10</t>
        </is>
      </c>
      <c r="C7" s="17" t="inlineStr">
        <is>
          <t>Your hurdle rate</t>
        </is>
      </c>
    </row>
    <row r="8">
      <c r="A8" s="17" t="inlineStr">
        <is>
          <t>Growth Mode</t>
        </is>
      </c>
      <c r="B8" s="24" t="inlineStr">
        <is>
          <t>Single</t>
        </is>
      </c>
      <c r="C8" s="17" t="inlineStr">
        <is>
          <t>Single or ByYear</t>
        </is>
      </c>
    </row>
    <row r="9">
      <c r="A9" s="17" t="inlineStr">
        <is>
          <t>Single Growth</t>
        </is>
      </c>
      <c r="B9" s="24" t="inlineStr">
        <is>
          <t>0.06</t>
        </is>
      </c>
      <c r="C9" s="17" t="inlineStr">
        <is>
          <t>If GrowthMode=Single</t>
        </is>
      </c>
    </row>
    <row r="10">
      <c r="A10" s="17" t="inlineStr">
        <is>
          <t>Terminal Method</t>
        </is>
      </c>
      <c r="B10" s="24" t="inlineStr">
        <is>
          <t>Gordon</t>
        </is>
      </c>
      <c r="C10" s="17" t="inlineStr">
        <is>
          <t>Gordon or ExitMultiple</t>
        </is>
      </c>
    </row>
    <row r="11">
      <c r="A11" s="17" t="inlineStr">
        <is>
          <t>Terminal Growth g</t>
        </is>
      </c>
      <c r="B11" s="24" t="inlineStr">
        <is>
          <t>0.03</t>
        </is>
      </c>
      <c r="C11" s="17" t="inlineStr">
        <is>
          <t>If TerminalMethod=Gordon</t>
        </is>
      </c>
    </row>
    <row r="12">
      <c r="A12" s="17" t="inlineStr">
        <is>
          <t>Exit Multiple</t>
        </is>
      </c>
      <c r="B12" s="24" t="inlineStr">
        <is>
          <t>15</t>
        </is>
      </c>
      <c r="C12" s="17" t="inlineStr">
        <is>
          <t>If TerminalMethod=ExitMultiple</t>
        </is>
      </c>
    </row>
    <row r="13">
      <c r="A13" s="17" t="inlineStr">
        <is>
          <t>Cash</t>
        </is>
      </c>
      <c r="B13" s="24" t="inlineStr"/>
      <c r="C13" s="17" t="inlineStr">
        <is>
          <t>Cash &amp; equivalents</t>
        </is>
      </c>
    </row>
    <row r="14">
      <c r="A14" s="17" t="inlineStr">
        <is>
          <t>Debt</t>
        </is>
      </c>
      <c r="B14" s="24" t="inlineStr"/>
      <c r="C14" s="17" t="inlineStr">
        <is>
          <t>Total debt</t>
        </is>
      </c>
    </row>
    <row r="15">
      <c r="A15" s="17" t="inlineStr">
        <is>
          <t>Shares</t>
        </is>
      </c>
      <c r="B15" s="24" t="inlineStr"/>
      <c r="C15" s="17" t="inlineStr">
        <is>
          <t>Diluted shares outstanding</t>
        </is>
      </c>
    </row>
    <row r="16">
      <c r="A16" s="17" t="inlineStr">
        <is>
          <t>MOS</t>
        </is>
      </c>
      <c r="B16" s="24" t="inlineStr">
        <is>
          <t>0.30</t>
        </is>
      </c>
      <c r="C16" s="17" t="inlineStr">
        <is>
          <t>Margin of safety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How to Use This Template</t>
        </is>
      </c>
    </row>
    <row r="3">
      <c r="A3" s="25" t="inlineStr">
        <is>
          <t>1) Go to Inputs and fill the blue cells (FCF0, discount rate, growth, terminal assumptions, cash, debt, shares, MOS).
2) If you want per-year growth, set Growth Mode to ByYear and fill Years 1–10 growth rates.
3) Model sheet computes EV, Equity Value, Intrinsic Value per Share, and MOS buy price.
4) Optional: use UploadTemplate and the provided Python script to ingest inputs automatically.
Notes:
- This is a simplified DCF for quick valuation discussions, not a full 3-statement model.
- Sanity-check terminal assumptions and apply a margin of safety.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2026-01-14T04:42:29Z</dcterms:created>
  <dcterms:modified xmlns:dcterms="http://purl.org/dc/terms/" xmlns:xsi="http://www.w3.org/2001/XMLSchema-instance" xsi:type="dcterms:W3CDTF">2026-01-14T04:42:29Z</dcterms:modified>
</cp:coreProperties>
</file>